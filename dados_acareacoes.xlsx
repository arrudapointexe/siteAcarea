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ac909cf066e6b0f/Desktop/bots/"/>
    </mc:Choice>
  </mc:AlternateContent>
  <xr:revisionPtr revIDLastSave="6" documentId="11_23F921ED95A3C821146008C6AD0DD1CC5826805A" xr6:coauthVersionLast="47" xr6:coauthVersionMax="47" xr10:uidLastSave="{E48B0DC9-4289-451B-8C6A-9E5369B7AF62}"/>
  <bookViews>
    <workbookView xWindow="-120" yWindow="-120" windowWidth="20730" windowHeight="11040" activeTab="2" xr2:uid="{00000000-000D-0000-FFFF-FFFF00000000}"/>
  </bookViews>
  <sheets>
    <sheet name="Planilha2" sheetId="3" r:id="rId1"/>
    <sheet name="Planilha1" sheetId="2" r:id="rId2"/>
    <sheet name="Sheet1" sheetId="1" r:id="rId3"/>
  </sheets>
  <calcPr calcId="124519"/>
  <pivotCaches>
    <pivotCache cacheId="192" r:id="rId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<sst xmlns="http://schemas.openxmlformats.org/spreadsheetml/2006/main" count="135" uniqueCount="115">
  <si>
    <t>AWB</t>
  </si>
  <si>
    <t>Motorista</t>
  </si>
  <si>
    <t>Nome</t>
  </si>
  <si>
    <t>Telefone</t>
  </si>
  <si>
    <t>Endereco</t>
  </si>
  <si>
    <t>Produto</t>
  </si>
  <si>
    <t>3320071350136</t>
  </si>
  <si>
    <t>3320041357597</t>
  </si>
  <si>
    <t>3320001366519</t>
  </si>
  <si>
    <t>3320058358093</t>
  </si>
  <si>
    <t>3320067346239</t>
  </si>
  <si>
    <t>3320090359776</t>
  </si>
  <si>
    <t>3320022360871</t>
  </si>
  <si>
    <t>3320065314168</t>
  </si>
  <si>
    <t>3320096343566</t>
  </si>
  <si>
    <t>3320009365112</t>
  </si>
  <si>
    <t>6041726522534</t>
  </si>
  <si>
    <t>3320019348079</t>
  </si>
  <si>
    <t>3320022349122</t>
  </si>
  <si>
    <t>3320095349691</t>
  </si>
  <si>
    <t>6041726374040</t>
  </si>
  <si>
    <t>3320073355871</t>
  </si>
  <si>
    <t>3320090345591</t>
  </si>
  <si>
    <t>3320057350290</t>
  </si>
  <si>
    <t>(JML INT)GETER HENRIQUE - ITABIRA</t>
  </si>
  <si>
    <t>(STB LOC) PAMELA LANA REZENDE</t>
  </si>
  <si>
    <t>(JML INT)WENDERSON ARAUJO - ITABIRA</t>
  </si>
  <si>
    <t>(JML INT)WINDISON MAICON - ITABIRA</t>
  </si>
  <si>
    <t>(STB LOC)JOÃO HILBERT DA SILVA</t>
  </si>
  <si>
    <t>(JML LOC) LUCAS FELIPE GOMES DA SILVA</t>
  </si>
  <si>
    <t>(JML LOC) RENNER DIEGO DE CARVALHO</t>
  </si>
  <si>
    <t>(JML INT) FRANCISMAR LIMA- BOM JESUS</t>
  </si>
  <si>
    <t>(JML LOC) ROGER CARLOS BRAGA</t>
  </si>
  <si>
    <t>(STB LOC) ALINE CRISTINA SANTOS</t>
  </si>
  <si>
    <t>(JML LOC) JOÃO PAULO BICALHO MARTINS</t>
  </si>
  <si>
    <t>(STB LOC) CARLOS VINICIOS EFIRMIANDO</t>
  </si>
  <si>
    <t>(JML INT) PARLLON MATOS - ALVINOPOLIS</t>
  </si>
  <si>
    <t>(STB LOC)DIOVANI WALISON DE ANDRADE</t>
  </si>
  <si>
    <t>(JML INT) LUCAS SANTOS - ITABIRA</t>
  </si>
  <si>
    <t>Giseli costa Espindola Gomes</t>
  </si>
  <si>
    <t>Jenifer Kelly</t>
  </si>
  <si>
    <t>Lorena Silva</t>
  </si>
  <si>
    <t>Ruth Vitoria</t>
  </si>
  <si>
    <t>Mariana Silva</t>
  </si>
  <si>
    <t>eneluciafreitas</t>
  </si>
  <si>
    <t>diogo</t>
  </si>
  <si>
    <t>daniloluz20</t>
  </si>
  <si>
    <t>Kennedy Wander</t>
  </si>
  <si>
    <t>Alexandra Santos</t>
  </si>
  <si>
    <t>Emily Cristina da Silva Zanella</t>
  </si>
  <si>
    <t>milinha Vasconcellos</t>
  </si>
  <si>
    <t>Lari Lari</t>
  </si>
  <si>
    <t>Lali</t>
  </si>
  <si>
    <t>Sara Cristina da Silva de Oliveira</t>
  </si>
  <si>
    <t>Joice Mara do Carmo pinto marques</t>
  </si>
  <si>
    <t>Rafaela Meireles Coutinho</t>
  </si>
  <si>
    <t>Jane kelly</t>
  </si>
  <si>
    <t>+5531999368116</t>
  </si>
  <si>
    <t>+5531995264171</t>
  </si>
  <si>
    <t>+5531986090083</t>
  </si>
  <si>
    <t>+5531987510691</t>
  </si>
  <si>
    <t>+5531995050247</t>
  </si>
  <si>
    <t>+5531998675818</t>
  </si>
  <si>
    <t>+5527981191289</t>
  </si>
  <si>
    <t>+5592982080755</t>
  </si>
  <si>
    <t>+5553191738884</t>
  </si>
  <si>
    <t>+5535998721133</t>
  </si>
  <si>
    <t>+5531982629023</t>
  </si>
  <si>
    <t>+5531982151895</t>
  </si>
  <si>
    <t>+5531994361780</t>
  </si>
  <si>
    <t>+5531983648807</t>
  </si>
  <si>
    <t>+5531995529037</t>
  </si>
  <si>
    <t>+5531996862635</t>
  </si>
  <si>
    <t>+5531994061028</t>
  </si>
  <si>
    <t>+5531990708633</t>
  </si>
  <si>
    <t>Rua Ipê Roxo 147 casa, Jardim dos Ipês, Itabira</t>
  </si>
  <si>
    <t>rua Francis Hime 397 casa do fundo, Irmãos Aleme, Barão de Cocais</t>
  </si>
  <si>
    <t>Rua Maurílio Martins de Souza 43, Fênix, Itabira</t>
  </si>
  <si>
    <t>Rua Afonso Arinos 33 casa, João XXIII, Itabira</t>
  </si>
  <si>
    <t>Rua Padre Teles 533 Casa Fundos, Vila São Geraldo, Barão de Cocais</t>
  </si>
  <si>
    <t>Rua Colatina 393, Industrial, João Monlevade</t>
  </si>
  <si>
    <t>Rua Caetés 145 Casa, Industrial, João Monlevade</t>
  </si>
  <si>
    <t>Avenida Getúlio Vargas 4375 Apartamento 201, Carneirinhos, João Monlevade</t>
  </si>
  <si>
    <t>Rua Jesus Drumond 110 Apartamento B, Nova Monlevade, João Monlevade</t>
  </si>
  <si>
    <t>Rua Jasmim 44 Casa, Vila Tanque, João Monlevade</t>
  </si>
  <si>
    <t>rua izolina raimunda a silva, 145 -, garcia, Barão de Cocais</t>
  </si>
  <si>
    <t>Rua Joaquim Gomes Bastos 51, Laranjeiras, João Monlevade</t>
  </si>
  <si>
    <t>Rua Pitangui s/n Casa com cerca, próximo ao bar, Ponte coronel, São Gonçalo do Rio Abaixo</t>
  </si>
  <si>
    <t>Rua Osvaldo Bastos Werneck 207 Casa, Centro, Sem-Peixe</t>
  </si>
  <si>
    <t>Rua Argentina número 61 bairro metalúrgico, Metalúrgico, João Monlevade</t>
  </si>
  <si>
    <t>Rua Olegário Maciel 69 casa, Lagoa, Barão de Cocais</t>
  </si>
  <si>
    <t>Av. Conselheiro Afonso Pena 475 Loja na esquina, Centro, Santa Bárbara</t>
  </si>
  <si>
    <t>Rua Benedito Valadares 10 A, Doze de Março, Itabira</t>
  </si>
  <si>
    <t>Casaco Teddy Plus Size Feminino Longo Pelinho Com Capuz*1</t>
  </si>
  <si>
    <t>Escova de Limpeza Esfregão 3 Em 1 vassoura rodo chão cozinha Banheiro*1</t>
  </si>
  <si>
    <t>Novo modelo 2026 Fone de ouvido Bluetooth inteligente TWS M90pro e M88, versão 5.3, com display digital de bateria integrada e 3 cabos de dados — ideal para carregar seu celular Android, iPhone ou dispositivo Type-C em qualquer lugar, funci*2</t>
  </si>
  <si>
    <t>Projetor HY300 Portátil Smart Android 11 4K Ultra HD Wifi Bluetooth Cinema em Casa com Alto Falante*1</t>
  </si>
  <si>
    <t>Edredom Sherpa Cobertor Manta Coberdrom Casal Queen Dupla Face Pele de Carneiro Grosso*1+Edredom Sherpa Cobertor Manta Coberdrom Casal Queen Dupla Face Pele de Carneiro Grosso*1</t>
  </si>
  <si>
    <t>Sutiã Tomara que Caia Invisível Efeito Silicone Lib Push Up Anti-Suor para Vestidos e Festas*1</t>
  </si>
  <si>
    <t>Boné de Beisebol Estilo Vintage Jeans Lavado Ajustável Unissex Várias Cores e Modelos Proteção Solar bonetistore mia snapback chapéu*1</t>
  </si>
  <si>
    <t>Cicatribem Clareador Dérmico 60g – Hidratante Uniformizador e Revitalizante Facial e Corporal*1</t>
  </si>
  <si>
    <t>Guarda-Chuva Grande Automático - Fibra de Vidro Blackout para Proteção UV, Reforçado para Tempestade*1</t>
  </si>
  <si>
    <t>Jogo Memória Eletrônico Infantil Quatro Cores Genius Sons e Luzes ENVIO RÁPIDO*1</t>
  </si>
  <si>
    <t>DIVERSOS*1</t>
  </si>
  <si>
    <t>Super Macio Peruca Cacheada Repartida ao Meio Fibra Orgânica Peruca Encaracolado Africano Wig Premium MILA + Gratis Wig Cap*1</t>
  </si>
  <si>
    <t>Depilador elétrico com navalha dupla cuidado e delicadeza com sua pele, Recarregável com Tecnologia avançada Indolor.*1</t>
  </si>
  <si>
    <t>Colar semi joia arvore da vida corrente veneziana verniz italiano*1</t>
  </si>
  <si>
    <t>Sweatshirt de malha masculina*1+calças de tecido feminino*1+Blusa Feminina de Tecido*1+Calças Masculinas*1</t>
  </si>
  <si>
    <t>Conjunto Feminino Inverno Plush. Tamanhos: P ao Plus Size - Com zíper, capuz e bolso. Agasalho quentinho, liso e básico moda curve*1</t>
  </si>
  <si>
    <t>Capa De Telefone Com Ventosa 3D Para iPhone 17 16 15 14 13 12 11 Pro Max X XS XR À Prova De Choque*1</t>
  </si>
  <si>
    <t>Kit 11 Frascos Porta Shampoo/ Cremes/ Plastico Para Viagem -S1*1</t>
  </si>
  <si>
    <t>Total Geral</t>
  </si>
  <si>
    <t>MOTORISTAS</t>
  </si>
  <si>
    <t>QTD</t>
  </si>
  <si>
    <t>ACAREAÇÕES EM ABERTO IMILE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</si>
</sst>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gux" refreshedDate="46134.780410300926" createdVersion="7" refreshedVersion="7" minRefreshableVersion="3" recordCount="24" xr:uid="{2D83F3AD-FF8C-46EA-A6A9-B5CA6F4E70F6}">
  <cacheSource type="worksheet">
    <worksheetSource ref="A1:F1048576" sheet="Sheet1"/>
  </cacheSource>
  <cacheFields count="6">
    <cacheField name="AWB" numFmtId="0">
      <sharedItems containsBlank="1"/>
    </cacheField>
    <cacheField name="Motorista" numFmtId="0">
      <sharedItems containsBlank="1" count="18">
        <s v="(JML INT)GETER HENRIQUE - ITABIRA"/>
        <s v="(STB LOC) PAMELA LANA REZENDE"/>
        <s v="(JML INT)WENDERSON ARAUJO - ITABIRA"/>
        <s v="(JML INT)WINDISON MAICON - ITABIRA"/>
        <s v="(STB LOC)JOÃO HILBERT DA SILVA"/>
        <s v="(JML LOC) LUCAS FELIPE GOMES DA SILVA"/>
        <s v="(JML LOC) RENNER DIEGO DE CARVALHO"/>
        <s v="(JML INT) FRANCISMAR LIMA- BOM JESUS"/>
        <s v="(JML LOC) ROGER CARLOS BRAGA"/>
        <s v="(STB LOC) ALINE CRISTINA SANTOS"/>
        <s v="(JML LOC) JOÃO PAULO BICALHO MARTINS"/>
        <s v="(STB LOC) CARLOS VINICIOS EFIRMIANDO"/>
        <s v="(JML INT) PARLLON MATOS - ALVINOPOLIS"/>
        <s v="(STB LOC)DIOVANI WALISON DE ANDRADE"/>
        <s v="(JML INT) LUCAS SANTOS - ITABIRA"/>
        <s v="(JML INT) SERGIO DE ALMEIDA - ROÇA"/>
        <s v="(JML LOC)TIAGO SALES MENDES"/>
        <m/>
      </sharedItems>
    </cacheField>
    <cacheField name="Nome" numFmtId="0">
      <sharedItems containsBlank="1"/>
    </cacheField>
    <cacheField name="Telefone" numFmtId="0">
      <sharedItems containsBlank="1"/>
    </cacheField>
    <cacheField name="Endereco" numFmtId="0">
      <sharedItems containsBlank="1"/>
    </cacheField>
    <cacheField name="Produ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s v="3320071350136"/>
    <x v="0"/>
    <s v="Giseli costa Espindola Gomes"/>
    <s v="+5531999368116"/>
    <s v="Rua Ipê Roxo 147 casa, Jardim dos Ipês, Itabira"/>
    <s v="Casaco Teddy Plus Size Feminino Longo Pelinho Com Capuz*1"/>
  </r>
  <r>
    <s v="3320041357597"/>
    <x v="1"/>
    <s v="Jenifer Kelly"/>
    <s v="+5531995264171"/>
    <s v="rua Francis Hime 397 casa do fundo, Irmãos Aleme, Barão de Cocais"/>
    <s v="Escova de Limpeza Esfregão 3 Em 1 vassoura rodo chão cozinha Banheiro*1"/>
  </r>
  <r>
    <s v="3320001366519"/>
    <x v="2"/>
    <s v="Lorena Silva"/>
    <s v="+5531986090083"/>
    <s v="Rua Maurílio Martins de Souza 43, Fênix, Itabira"/>
    <s v="Novo modelo 2026 Fone de ouvido Bluetooth inteligente TWS M90pro e M88, versão 5.3, com display digital de bateria integrada e 3 cabos de dados — ideal para carregar seu celular Android, iPhone ou dispositivo Type-C em qualquer lugar, funci*2"/>
  </r>
  <r>
    <s v="3320058358093"/>
    <x v="3"/>
    <s v="Ruth Vitoria"/>
    <s v="+5531987510691"/>
    <s v="Rua Afonso Arinos 33 casa, João XXIII, Itabira"/>
    <s v="Projetor HY300 Portátil Smart Android 11 4K Ultra HD Wifi Bluetooth Cinema em Casa com Alto Falante*1"/>
  </r>
  <r>
    <s v="3320067346239"/>
    <x v="4"/>
    <s v="Mariana Silva"/>
    <s v="+5531995050247"/>
    <s v="Rua Padre Teles 533 Casa Fundos, Vila São Geraldo, Barão de Cocais"/>
    <s v="Edredom Sherpa Cobertor Manta Coberdrom Casal Queen Dupla Face Pele de Carneiro Grosso*1+Edredom Sherpa Cobertor Manta Coberdrom Casal Queen Dupla Face Pele de Carneiro Grosso*1"/>
  </r>
  <r>
    <s v="3320090359776"/>
    <x v="5"/>
    <s v="eneluciafreitas"/>
    <s v="+5531998675818"/>
    <s v="Rua Colatina 393, Industrial, João Monlevade"/>
    <s v="Sutiã Tomara que Caia Invisível Efeito Silicone Lib Push Up Anti-Suor para Vestidos e Festas*1"/>
  </r>
  <r>
    <s v="3320022360871"/>
    <x v="5"/>
    <s v="diogo"/>
    <s v="+5527981191289"/>
    <s v="Rua Caetés 145 Casa, Industrial, João Monlevade"/>
    <s v="Boné de Beisebol Estilo Vintage Jeans Lavado Ajustável Unissex Várias Cores e Modelos Proteção Solar bonetistore mia snapback chapéu*1"/>
  </r>
  <r>
    <s v="3320096358643"/>
    <x v="2"/>
    <s v="bernardo reis"/>
    <s v="+5531971549283"/>
    <s v="Rua Odorico Albuquerque 11 casa, Campestre I, Itabira"/>
    <s v="Kit Carregador De iPhone Fonte com Cabo Carregamento Rápido 1m PD 20w*1"/>
  </r>
  <r>
    <s v="3320097350679"/>
    <x v="2"/>
    <s v="bernardo reis"/>
    <s v="+5531971549283"/>
    <s v="Rua Odorico Albuquerque 11 casa, Campestre I, Itabira"/>
    <s v="TB Moda Kit Corrente Pulseira em Aço Inoxi Masculina/Feminina*1"/>
  </r>
  <r>
    <s v="3320065314168"/>
    <x v="6"/>
    <s v="daniloluz20"/>
    <s v="+5592982080755"/>
    <s v="Avenida Getúlio Vargas 4375 Apartamento 201, Carneirinhos, João Monlevade"/>
    <s v="Cicatribem Clareador Dérmico 60g – Hidratante Uniformizador e Revitalizante Facial e Corporal*1"/>
  </r>
  <r>
    <s v="3320096343566"/>
    <x v="7"/>
    <s v="Kennedy Wander"/>
    <s v="+5553191738884"/>
    <s v="Rua Jesus Drumond 110 Apartamento B, Nova Monlevade, João Monlevade"/>
    <s v="Guarda-Chuva Grande Automático - Fibra de Vidro Blackout para Proteção UV, Reforçado para Tempestade*1"/>
  </r>
  <r>
    <s v="3320009365112"/>
    <x v="8"/>
    <s v="Alexandra Santos"/>
    <s v="+5535998721133"/>
    <s v="Rua Jasmim 44 Casa, Vila Tanque, João Monlevade"/>
    <s v="Jogo Memória Eletrônico Infantil Quatro Cores Genius Sons e Luzes ENVIO RÁPIDO*1"/>
  </r>
  <r>
    <s v="6041726522534"/>
    <x v="9"/>
    <s v="Emily Cristina da Silva Zanella"/>
    <s v="+5531982629023"/>
    <s v="rua izolina raimunda a silva, 145 -, garcia, Barão de Cocais"/>
    <s v="DIVERSOS*1"/>
  </r>
  <r>
    <s v="3320019348079"/>
    <x v="10"/>
    <s v="milinha Vasconcellos"/>
    <s v="+5531982151895"/>
    <s v="Rua Joaquim Gomes Bastos 51, Laranjeiras, João Monlevade"/>
    <s v="Super Macio Peruca Cacheada Repartida ao Meio Fibra Orgânica Peruca Encaracolado Africano Wig Premium MILA + Gratis Wig Cap*1"/>
  </r>
  <r>
    <s v="3320038351075"/>
    <x v="11"/>
    <s v="kaw carvalho"/>
    <s v="+5553399944958"/>
    <s v="𝐑𝐮𝐚 𝐫𝐚𝐮𝐥 𝐡𝐨𝐬𝐤𝐞𝐧 34 𝐬𝐮𝐩𝐞𝐫𝐦𝐞𝐫𝐜𝐚𝐝𝐨 𝐭𝐫𝐞𝐯𝐨, 𝐒𝐚𝐨 𝐛𝐞𝐧𝐭𝐨, Santa Bárbara"/>
    <s v="Tênis Feminino Elegante Conforto Dia a Dia Versão Trend 2025*1"/>
  </r>
  <r>
    <s v="3320022349122"/>
    <x v="10"/>
    <s v="Lari Lari"/>
    <s v="+5531994361780"/>
    <s v="Rua Pitangui s/n Casa com cerca, próximo ao bar, Ponte coronel, São Gonçalo do Rio Abaixo"/>
    <s v="Depilador elétrico com navalha dupla cuidado e delicadeza com sua pele, Recarregável com Tecnologia avançada Indolor.*1"/>
  </r>
  <r>
    <s v="3320095349691"/>
    <x v="12"/>
    <s v="Lali"/>
    <s v="+5531983648807"/>
    <s v="Rua Osvaldo Bastos Werneck 207 Casa, Centro, Sem-Peixe"/>
    <s v="Colar semi joia arvore da vida corrente veneziana verniz italiano*1"/>
  </r>
  <r>
    <s v="6041726374040"/>
    <x v="10"/>
    <s v="Sara Cristina da Silva de Oliveira"/>
    <s v="+5531995529037"/>
    <s v="Rua Argentina número 61 bairro metalúrgico, Metalúrgico, João Monlevade"/>
    <s v="Sweatshirt de malha masculina*1+calças de tecido feminino*1+Blusa Feminina de Tecido*1+Calças Masculinas*1"/>
  </r>
  <r>
    <s v="3320073355871"/>
    <x v="13"/>
    <s v="Joice Mara do Carmo pinto marques"/>
    <s v="+5531996862635"/>
    <s v="Rua Olegário Maciel 69 casa, Lagoa, Barão de Cocais"/>
    <s v="Conjunto Feminino Inverno Plush. Tamanhos: P ao Plus Size - Com zíper, capuz e bolso. Agasalho quentinho, liso e básico moda curve*1"/>
  </r>
  <r>
    <s v="3320090345591"/>
    <x v="11"/>
    <s v="Rafaela Meireles Coutinho"/>
    <s v="+5531994061028"/>
    <s v="Av. Conselheiro Afonso Pena 475 Loja na esquina, Centro, Santa Bárbara"/>
    <s v="Capa De Telefone Com Ventosa 3D Para iPhone 17 16 15 14 13 12 11 Pro Max X XS XR À Prova De Choque*1"/>
  </r>
  <r>
    <s v="3320057350290"/>
    <x v="14"/>
    <s v="Jane kelly"/>
    <s v="+5531990708633"/>
    <s v="Rua Benedito Valadares 10 A, Doze de Março, Itabira"/>
    <s v="Kit 11 Frascos Porta Shampoo/ Cremes/ Plastico Para Viagem -S1*1"/>
  </r>
  <r>
    <s v="3320085334706"/>
    <x v="15"/>
    <s v="Luciano Almeida Gonçalves"/>
    <s v="+5531999789232"/>
    <s v="Rua Acre 357 casa, Barro Branco, Itabira"/>
    <s v="Rastreador Chaveiro de Bagagem Mala PetAnti-Perda Mini Localizador Chaveiro GPS(Compatível com Android e iOS)*1"/>
  </r>
  <r>
    <s v="3320095353798"/>
    <x v="16"/>
    <s v="elainecamposandra"/>
    <s v="+5531999068173"/>
    <s v="Rua Santa Mônica 34 casa, José Elói, João Monlevade"/>
    <s v="Balança De Cozinha Digital Alta Precisão Até 10kg Capacidade máxima 10 g Cor Branco*1"/>
  </r>
  <r>
    <m/>
    <x v="1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00AE1C-2C32-4684-AA5E-103AD6B96447}" name="Tabela dinâmica42" cacheId="19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MOTORISTAS">
  <location ref="A3:B9" firstHeaderRow="1" firstDataRow="1" firstDataCol="1"/>
  <pivotFields count="6">
    <pivotField dataField="1" showAll="0"/>
    <pivotField axis="axisRow" showAll="0" sortType="descending">
      <items count="19">
        <item h="1" x="7"/>
        <item h="1" x="14"/>
        <item h="1" x="12"/>
        <item h="1" x="15"/>
        <item h="1" x="0"/>
        <item h="1" x="2"/>
        <item h="1" x="3"/>
        <item h="1" x="10"/>
        <item h="1" x="5"/>
        <item h="1" x="6"/>
        <item h="1" x="8"/>
        <item h="1" x="16"/>
        <item x="9"/>
        <item x="11"/>
        <item x="1"/>
        <item x="13"/>
        <item x="4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"/>
  </rowFields>
  <rowItems count="6">
    <i>
      <x v="13"/>
    </i>
    <i>
      <x v="16"/>
    </i>
    <i>
      <x v="15"/>
    </i>
    <i>
      <x v="12"/>
    </i>
    <i>
      <x v="14"/>
    </i>
    <i t="grand">
      <x/>
    </i>
  </rowItems>
  <colItems count="1">
    <i/>
  </colItems>
  <dataFields count="1">
    <dataField name="QTD" fld="0" subtotal="count" baseField="0" baseItem="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682BFF-45CC-4F65-87CF-0204F987928D}" name="Tabela1" displayName="Tabela1" ref="A1:F2" totalsRowShown="0">
  <autoFilter ref="A1:F2" xr:uid="{88682BFF-45CC-4F65-87CF-0204F987928D}"/>
  <tableColumns count="6">
    <tableColumn id="1" xr3:uid="{0EBAE740-7BC6-403C-BB9E-41DE0548C3FA}" name="AWB"/>
    <tableColumn id="2" xr3:uid="{196AD421-FDEF-428D-8EE8-30DD6C961E5B}" name="Motorista"/>
    <tableColumn id="3" xr3:uid="{56825D65-48F8-4F47-BA85-CDAD6E8605EA}" name="Nome"/>
    <tableColumn id="4" xr3:uid="{4E9EE87F-F806-45BF-8459-1C60C3A68CE2}" name="Telefone"/>
    <tableColumn id="5" xr3:uid="{73F33F7D-C27B-4BB4-8498-4EBCE8531AB9}" name="Endereco"/>
    <tableColumn id="6" xr3:uid="{660BA362-4676-4D61-B20D-EDD96B75D755}" name="Produ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46E88-CA76-406C-B1E6-F13BCD3ED444}">
  <dimension ref="A1:F2"/>
  <sheetViews>
    <sheetView workbookViewId="0">
      <selection sqref="A1:F2"/>
    </sheetView>
  </sheetViews>
  <sheetFormatPr defaultRowHeight="15" x14ac:dyDescent="0.25"/>
  <cols>
    <col min="2" max="2" width="11.85546875" customWidth="1"/>
    <col min="4" max="4" width="11.140625" customWidth="1"/>
    <col min="5" max="5" width="11.42578125" customWidth="1"/>
    <col min="6" max="6" width="10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7</v>
      </c>
      <c r="B2" t="s">
        <v>25</v>
      </c>
      <c r="C2" t="s">
        <v>40</v>
      </c>
      <c r="D2" t="s">
        <v>58</v>
      </c>
      <c r="E2" t="s">
        <v>76</v>
      </c>
      <c r="F2" t="s">
        <v>94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3F5F-991A-4DB8-A76A-24914CB92237}">
  <dimension ref="A2:B9"/>
  <sheetViews>
    <sheetView workbookViewId="0">
      <selection activeCell="B8" sqref="B8"/>
    </sheetView>
  </sheetViews>
  <sheetFormatPr defaultRowHeight="15" x14ac:dyDescent="0.25"/>
  <cols>
    <col min="1" max="1" width="39" bestFit="1" customWidth="1"/>
    <col min="2" max="2" width="4.7109375" bestFit="1" customWidth="1"/>
  </cols>
  <sheetData>
    <row r="2" spans="1:2" ht="28.5" x14ac:dyDescent="0.45">
      <c r="A2" s="5" t="s">
        <v>114</v>
      </c>
      <c r="B2" s="5"/>
    </row>
    <row r="3" spans="1:2" x14ac:dyDescent="0.25">
      <c r="A3" s="3" t="s">
        <v>112</v>
      </c>
      <c r="B3" t="s">
        <v>113</v>
      </c>
    </row>
    <row r="4" spans="1:2" x14ac:dyDescent="0.25">
      <c r="A4" s="4" t="s">
        <v>35</v>
      </c>
      <c r="B4" s="2">
        <v>2</v>
      </c>
    </row>
    <row r="5" spans="1:2" x14ac:dyDescent="0.25">
      <c r="A5" s="4" t="s">
        <v>28</v>
      </c>
      <c r="B5" s="2">
        <v>1</v>
      </c>
    </row>
    <row r="6" spans="1:2" x14ac:dyDescent="0.25">
      <c r="A6" s="4" t="s">
        <v>37</v>
      </c>
      <c r="B6" s="2">
        <v>1</v>
      </c>
    </row>
    <row r="7" spans="1:2" x14ac:dyDescent="0.25">
      <c r="A7" s="4" t="s">
        <v>33</v>
      </c>
      <c r="B7" s="2">
        <v>1</v>
      </c>
    </row>
    <row r="8" spans="1:2" x14ac:dyDescent="0.25">
      <c r="A8" s="4" t="s">
        <v>25</v>
      </c>
      <c r="B8" s="2">
        <v>1</v>
      </c>
    </row>
    <row r="9" spans="1:2" x14ac:dyDescent="0.25">
      <c r="A9" s="4" t="s">
        <v>111</v>
      </c>
      <c r="B9" s="2">
        <v>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>
      <selection activeCell="A14" sqref="A14:XFD14"/>
    </sheetView>
  </sheetViews>
  <sheetFormatPr defaultRowHeight="15" x14ac:dyDescent="0.25"/>
  <cols>
    <col min="1" max="1" width="14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24</v>
      </c>
      <c r="C2" t="s">
        <v>39</v>
      </c>
      <c r="D2" t="s">
        <v>57</v>
      </c>
      <c r="E2" t="s">
        <v>75</v>
      </c>
      <c r="F2" t="s">
        <v>93</v>
      </c>
    </row>
    <row r="3" spans="1:6" x14ac:dyDescent="0.25">
      <c r="A3" t="s">
        <v>7</v>
      </c>
      <c r="B3" t="s">
        <v>25</v>
      </c>
      <c r="C3" t="s">
        <v>40</v>
      </c>
      <c r="D3" t="s">
        <v>58</v>
      </c>
      <c r="E3" t="s">
        <v>76</v>
      </c>
      <c r="F3" t="s">
        <v>94</v>
      </c>
    </row>
    <row r="4" spans="1:6" x14ac:dyDescent="0.25">
      <c r="A4" t="s">
        <v>8</v>
      </c>
      <c r="B4" t="s">
        <v>26</v>
      </c>
      <c r="C4" t="s">
        <v>41</v>
      </c>
      <c r="D4" t="s">
        <v>59</v>
      </c>
      <c r="E4" t="s">
        <v>77</v>
      </c>
      <c r="F4" t="s">
        <v>95</v>
      </c>
    </row>
    <row r="5" spans="1:6" x14ac:dyDescent="0.25">
      <c r="A5" t="s">
        <v>9</v>
      </c>
      <c r="B5" t="s">
        <v>27</v>
      </c>
      <c r="C5" t="s">
        <v>42</v>
      </c>
      <c r="D5" t="s">
        <v>60</v>
      </c>
      <c r="E5" t="s">
        <v>78</v>
      </c>
      <c r="F5" t="s">
        <v>96</v>
      </c>
    </row>
    <row r="6" spans="1:6" x14ac:dyDescent="0.25">
      <c r="A6" t="s">
        <v>10</v>
      </c>
      <c r="B6" t="s">
        <v>28</v>
      </c>
      <c r="C6" t="s">
        <v>43</v>
      </c>
      <c r="D6" t="s">
        <v>61</v>
      </c>
      <c r="E6" t="s">
        <v>79</v>
      </c>
      <c r="F6" t="s">
        <v>97</v>
      </c>
    </row>
    <row r="7" spans="1:6" x14ac:dyDescent="0.25">
      <c r="A7" t="s">
        <v>11</v>
      </c>
      <c r="B7" t="s">
        <v>29</v>
      </c>
      <c r="C7" t="s">
        <v>44</v>
      </c>
      <c r="D7" t="s">
        <v>62</v>
      </c>
      <c r="E7" t="s">
        <v>80</v>
      </c>
      <c r="F7" t="s">
        <v>98</v>
      </c>
    </row>
    <row r="8" spans="1:6" x14ac:dyDescent="0.25">
      <c r="A8" t="s">
        <v>12</v>
      </c>
      <c r="B8" t="s">
        <v>29</v>
      </c>
      <c r="C8" t="s">
        <v>45</v>
      </c>
      <c r="D8" t="s">
        <v>63</v>
      </c>
      <c r="E8" t="s">
        <v>81</v>
      </c>
      <c r="F8" t="s">
        <v>99</v>
      </c>
    </row>
    <row r="9" spans="1:6" x14ac:dyDescent="0.25">
      <c r="A9" t="s">
        <v>13</v>
      </c>
      <c r="B9" t="s">
        <v>30</v>
      </c>
      <c r="C9" t="s">
        <v>46</v>
      </c>
      <c r="D9" t="s">
        <v>64</v>
      </c>
      <c r="E9" t="s">
        <v>82</v>
      </c>
      <c r="F9" t="s">
        <v>100</v>
      </c>
    </row>
    <row r="10" spans="1:6" x14ac:dyDescent="0.25">
      <c r="A10" t="s">
        <v>14</v>
      </c>
      <c r="B10" t="s">
        <v>31</v>
      </c>
      <c r="C10" t="s">
        <v>47</v>
      </c>
      <c r="D10" t="s">
        <v>65</v>
      </c>
      <c r="E10" t="s">
        <v>83</v>
      </c>
      <c r="F10" t="s">
        <v>101</v>
      </c>
    </row>
    <row r="11" spans="1:6" x14ac:dyDescent="0.25">
      <c r="A11" t="s">
        <v>15</v>
      </c>
      <c r="B11" t="s">
        <v>32</v>
      </c>
      <c r="C11" t="s">
        <v>48</v>
      </c>
      <c r="D11" t="s">
        <v>66</v>
      </c>
      <c r="E11" t="s">
        <v>84</v>
      </c>
      <c r="F11" t="s">
        <v>102</v>
      </c>
    </row>
    <row r="12" spans="1:6" s="1" customFormat="1" x14ac:dyDescent="0.25">
      <c r="A12" s="1" t="s">
        <v>16</v>
      </c>
      <c r="B12" s="1" t="s">
        <v>33</v>
      </c>
      <c r="C12" s="1" t="s">
        <v>49</v>
      </c>
      <c r="D12" s="1" t="s">
        <v>67</v>
      </c>
      <c r="E12" s="1" t="s">
        <v>85</v>
      </c>
      <c r="F12" s="1" t="s">
        <v>103</v>
      </c>
    </row>
    <row r="13" spans="1:6" x14ac:dyDescent="0.25">
      <c r="A13" t="s">
        <v>17</v>
      </c>
      <c r="B13" t="s">
        <v>34</v>
      </c>
      <c r="C13" t="s">
        <v>50</v>
      </c>
      <c r="D13" t="s">
        <v>68</v>
      </c>
      <c r="E13" t="s">
        <v>86</v>
      </c>
      <c r="F13" t="s">
        <v>104</v>
      </c>
    </row>
    <row r="14" spans="1:6" s="1" customFormat="1" x14ac:dyDescent="0.25">
      <c r="A14" s="1" t="s">
        <v>18</v>
      </c>
      <c r="B14" s="1" t="s">
        <v>34</v>
      </c>
      <c r="C14" s="1" t="s">
        <v>51</v>
      </c>
      <c r="D14" s="1" t="s">
        <v>69</v>
      </c>
      <c r="E14" s="1" t="s">
        <v>87</v>
      </c>
      <c r="F14" s="1" t="s">
        <v>105</v>
      </c>
    </row>
    <row r="15" spans="1:6" x14ac:dyDescent="0.25">
      <c r="A15" t="s">
        <v>19</v>
      </c>
      <c r="B15" t="s">
        <v>36</v>
      </c>
      <c r="C15" t="s">
        <v>52</v>
      </c>
      <c r="D15" t="s">
        <v>70</v>
      </c>
      <c r="E15" t="s">
        <v>88</v>
      </c>
      <c r="F15" t="s">
        <v>106</v>
      </c>
    </row>
    <row r="16" spans="1:6" x14ac:dyDescent="0.25">
      <c r="A16" t="s">
        <v>20</v>
      </c>
      <c r="B16" t="s">
        <v>34</v>
      </c>
      <c r="C16" t="s">
        <v>53</v>
      </c>
      <c r="D16" t="s">
        <v>71</v>
      </c>
      <c r="E16" t="s">
        <v>89</v>
      </c>
      <c r="F16" t="s">
        <v>107</v>
      </c>
    </row>
    <row r="17" spans="1:6" x14ac:dyDescent="0.25">
      <c r="A17" t="s">
        <v>21</v>
      </c>
      <c r="B17" t="s">
        <v>37</v>
      </c>
      <c r="C17" t="s">
        <v>54</v>
      </c>
      <c r="D17" t="s">
        <v>72</v>
      </c>
      <c r="E17" t="s">
        <v>90</v>
      </c>
      <c r="F17" t="s">
        <v>108</v>
      </c>
    </row>
    <row r="18" spans="1:6" x14ac:dyDescent="0.25">
      <c r="A18" t="s">
        <v>22</v>
      </c>
      <c r="B18" t="s">
        <v>35</v>
      </c>
      <c r="C18" t="s">
        <v>55</v>
      </c>
      <c r="D18" t="s">
        <v>73</v>
      </c>
      <c r="E18" t="s">
        <v>91</v>
      </c>
      <c r="F18" t="s">
        <v>109</v>
      </c>
    </row>
    <row r="19" spans="1:6" x14ac:dyDescent="0.25">
      <c r="A19" t="s">
        <v>23</v>
      </c>
      <c r="B19" t="s">
        <v>38</v>
      </c>
      <c r="C19" t="s">
        <v>56</v>
      </c>
      <c r="D19" t="s">
        <v>74</v>
      </c>
      <c r="E19" t="s">
        <v>92</v>
      </c>
      <c r="F19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Planilha1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diguxpt@hotmail.com</cp:lastModifiedBy>
  <dcterms:created xsi:type="dcterms:W3CDTF">2026-04-22T21:38:06Z</dcterms:created>
  <dcterms:modified xsi:type="dcterms:W3CDTF">2026-04-22T22:27:50Z</dcterms:modified>
</cp:coreProperties>
</file>